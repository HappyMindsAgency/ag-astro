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lug_Pagine statiche_ITA" sheetId="1" r:id="rId4"/>
    <sheet state="visible" name="2. Campi SEO_Pagine statiche_IT" sheetId="2" r:id="rId5"/>
  </sheets>
  <definedNames>
    <definedName hidden="1" localSheetId="0" name="_xlnm._FilterDatabase">'1. Slug_Pagine statiche_ITA'!$A$4:$M$35</definedName>
  </definedNames>
  <calcPr/>
  <extLst>
    <ext uri="GoogleSheetsCustomDataVersion2">
      <go:sheetsCustomData xmlns:go="http://customooxmlschemas.google.com/" r:id="rId6" roundtripDataChecksum="ELQxDKmwqlLX3dTKCWOC/kd9EuieNY4o6il92l+CLb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ID#AAACJGIQmyo
Elisabetta Coffari    (2026-10-20 13:42:16)
@g.maestri@happyminds.it questo da tenere in standby perchè dovrebbe andare su fidire
1 reazione in totale
Giada Maestri ha reagito con 👍 (20/10/2026, 14:09 UTC)
_Attività assegnata a g.maestri@happyminds.it_</t>
      </text>
    </comment>
  </commentList>
  <extLst>
    <ext uri="GoogleSheetsCustomDataVersion2">
      <go:sheetsCustomData xmlns:go="http://customooxmlschemas.google.com/" r:id="rId1" roundtripDataSignature="AMtx7mhqs5yiaNO4SSsV9ucYj2L3Ux9G+A=="/>
    </ext>
  </extLst>
</comments>
</file>

<file path=xl/sharedStrings.xml><?xml version="1.0" encoding="utf-8"?>
<sst xmlns="http://schemas.openxmlformats.org/spreadsheetml/2006/main" count="406" uniqueCount="221">
  <si>
    <t xml:space="preserve">AG Trustees – Architettura URL e slug </t>
  </si>
  <si>
    <t>Campi SEO per Strapi – BOZZE da validare con dati keyword (SEOZoom / Search Console)</t>
  </si>
  <si>
    <t>Dominio canonico (da confermare):</t>
  </si>
  <si>
    <t>https://agtrustees.it</t>
  </si>
  <si>
    <t>Title: indicativamente ≤ 60 caratteri (rosso se oltre). Description: 120–155 caratteri (rosso se fuori range). Registro: 'lei' o impersonale, niente toni promozionali (manuale di verbal identity). Le keyword indicate vengono dai termini strategici della proposta SEO/GEO, non da volumi verificati. {graffe} = campo dinamico del template. Nome: 'AG Trustees' nei title; 'Across Galvani Trustees' solo come legalName e nei contesti istituzionali (manuale, Brand name). CTA: dirette e non promozionali, con il 'tu', unica eccezione al 'lei', es. 'Richiedi un appuntamento con un professionista' (manuale, regole 5 e 16).</t>
  </si>
  <si>
    <t>Legenda: celle gialle = input modificabili. Stato arancione = decisione aperta (vedi foglio 4). Righe grigie = URL riservate per la fase 2, non al lancio. Fonte struttura: Architettura_informativa_AGtrustees.docx; criteri SEO: proposta tecnica SEO/GEO v1.0.</t>
  </si>
  <si>
    <t>ID</t>
  </si>
  <si>
    <t>Pagina</t>
  </si>
  <si>
    <t>Percorso (da foglio 1)</t>
  </si>
  <si>
    <t>Keywords</t>
  </si>
  <si>
    <t>Meta title  (bozza)</t>
  </si>
  <si>
    <t>Car. title</t>
  </si>
  <si>
    <t>Meta description (bozza)</t>
  </si>
  <si>
    <t>Car. desc.</t>
  </si>
  <si>
    <t>Sezione menu</t>
  </si>
  <si>
    <t>Meta robots</t>
  </si>
  <si>
    <t>Tipo</t>
  </si>
  <si>
    <t>Livello</t>
  </si>
  <si>
    <t>Pagina padre</t>
  </si>
  <si>
    <t>Slug</t>
  </si>
  <si>
    <t>Percorso IT</t>
  </si>
  <si>
    <t>Social Meta Title</t>
  </si>
  <si>
    <t>URL completo</t>
  </si>
  <si>
    <t>Al lancio</t>
  </si>
  <si>
    <t>Social Meta Description</t>
  </si>
  <si>
    <t>Stato</t>
  </si>
  <si>
    <t>Fonte in architettura</t>
  </si>
  <si>
    <t>P01</t>
  </si>
  <si>
    <t>Home</t>
  </si>
  <si>
    <t>–</t>
  </si>
  <si>
    <t>/</t>
  </si>
  <si>
    <t>Sì</t>
  </si>
  <si>
    <t>Proposta</t>
  </si>
  <si>
    <t>Menu 1; spec Home</t>
  </si>
  <si>
    <t>P02</t>
  </si>
  <si>
    <t>Chi siamo</t>
  </si>
  <si>
    <t>chi-siamo</t>
  </si>
  <si>
    <t>/chi-siamo/</t>
  </si>
  <si>
    <t>Menu 2; spec Chi siamo</t>
  </si>
  <si>
    <t>P03</t>
  </si>
  <si>
    <t>Galvani Fiduciaria e Argos Trustees (nascita di AG Trustees)</t>
  </si>
  <si>
    <t>galvani-fiduciaria-argos-trustees</t>
  </si>
  <si>
    <t>/chi-siamo/galvani-fiduciaria-argos-trustees/</t>
  </si>
  <si>
    <t>Da decidere</t>
  </si>
  <si>
    <t>Menu: 'Argos e Galvani Fiduciaria'. Spec: sezione 'Come nasce AG Trustees' dentro Chi siamo</t>
  </si>
  <si>
    <t>P04</t>
  </si>
  <si>
    <t>Visione e metodologia</t>
  </si>
  <si>
    <t>visione-metodologia</t>
  </si>
  <si>
    <t>/chi-siamo/visione-metodologia/</t>
  </si>
  <si>
    <t>Menu + spec dedicata</t>
  </si>
  <si>
    <t>P05</t>
  </si>
  <si>
    <t>Team</t>
  </si>
  <si>
    <t>Pagina / listing</t>
  </si>
  <si>
    <t>team</t>
  </si>
  <si>
    <t>/chi-siamo/team/</t>
  </si>
  <si>
    <t>Menu 'Il team'; spec Chi siamo §7</t>
  </si>
  <si>
    <t>P06</t>
  </si>
  <si>
    <t>Profilo membro del team</t>
  </si>
  <si>
    <t>Template</t>
  </si>
  <si>
    <t>[nome-cognome]</t>
  </si>
  <si>
    <t>/chi-siamo/team/[nome-cognome]/</t>
  </si>
  <si>
    <t>Spec: profilo con bio, competenze, articoli collegati</t>
  </si>
  <si>
    <t>Trust company e trustee professionale | AG Trustees</t>
  </si>
  <si>
    <t>P07</t>
  </si>
  <si>
    <t>Servizi</t>
  </si>
  <si>
    <t>servizi</t>
  </si>
  <si>
    <t>/servizi/</t>
  </si>
  <si>
    <t>Menu 3; spec Servizi (pagina unica a sezioni)</t>
  </si>
  <si>
    <t>P08</t>
  </si>
  <si>
    <t>Family office</t>
  </si>
  <si>
    <t>family-office</t>
  </si>
  <si>
    <t>/servizi/family-office/</t>
  </si>
  <si>
    <t>Menu; spec pagina Family office</t>
  </si>
  <si>
    <t>P09</t>
  </si>
  <si>
    <t>Trust</t>
  </si>
  <si>
    <t>Pagina pilastro</t>
  </si>
  <si>
    <t>trust</t>
  </si>
  <si>
    <t>/trust/</t>
  </si>
  <si>
    <t>AG Trustees affianca famiglie, imprenditori e professionisti nell'istituzione e nell'amministrazione di trust e nella tutela del patrimonio.</t>
  </si>
  <si>
    <t>Menu 4; spec Trust</t>
  </si>
  <si>
    <t>P10</t>
  </si>
  <si>
    <t>Patrimonio</t>
  </si>
  <si>
    <t>patrimonio</t>
  </si>
  <si>
    <t>/patrimonio/</t>
  </si>
  <si>
    <t>index, follow</t>
  </si>
  <si>
    <t>Menu 5; spec Patrimonio</t>
  </si>
  <si>
    <t>P11</t>
  </si>
  <si>
    <t>AG Informa</t>
  </si>
  <si>
    <t>Listing</t>
  </si>
  <si>
    <t>ag-informa</t>
  </si>
  <si>
    <t>/ag-informa/</t>
  </si>
  <si>
    <t>Menu 6; spec AG Informa</t>
  </si>
  <si>
    <t>P12</t>
  </si>
  <si>
    <t>Articolo</t>
  </si>
  <si>
    <t>[slug-articolo]</t>
  </si>
  <si>
    <t>/ag-informa/[slug-articolo]/</t>
  </si>
  <si>
    <t>Spec AG Informa</t>
  </si>
  <si>
    <t>P13</t>
  </si>
  <si>
    <t>Eventi</t>
  </si>
  <si>
    <t>Eventi e formazione</t>
  </si>
  <si>
    <t>Listing filtrato</t>
  </si>
  <si>
    <t>/eventi-in-agenda/</t>
  </si>
  <si>
    <t>eventi-in-agenda</t>
  </si>
  <si>
    <t>Menu: 'Eventi' voce di 1° livello. Spec: tab/calendario dentro AG Informa</t>
  </si>
  <si>
    <t>P14</t>
  </si>
  <si>
    <t>Tema (filtro tematico)</t>
  </si>
  <si>
    <t>Template listing</t>
  </si>
  <si>
    <t>/ag-informa/temi/</t>
  </si>
  <si>
    <t>[tema]</t>
  </si>
  <si>
    <t>/ag-informa/temi/[tema]/</t>
  </si>
  <si>
    <t>Spec: filtri Trust, Fiscalità, Servizi fiduciari, Patrimonio, Passaggio generazionale, Family office, Giurisprudenza, Normativa</t>
  </si>
  <si>
    <t>P15</t>
  </si>
  <si>
    <t>Knowledge Library</t>
  </si>
  <si>
    <t>Chi siamo: trust company indipendente | AG Trustees</t>
  </si>
  <si>
    <t>/knowledge-library/</t>
  </si>
  <si>
    <t>knowledge-library</t>
  </si>
  <si>
    <t>AG Trustees è una trust company italiana nata dall'integrazione di Galvani Fiduciaria e Argos Trustees, dedicata all'amministrazione di trust.</t>
  </si>
  <si>
    <t>Nome in 3 versioni: Knowledge Library (menu, microtesti), Knowledge Hub (spec), Biblioteca/Archivio AG (alternative)</t>
  </si>
  <si>
    <t>P16</t>
  </si>
  <si>
    <t>Tipologia di risorsa</t>
  </si>
  <si>
    <t>Galvani Fiduciaria e Argos Trustees</t>
  </si>
  <si>
    <t>/knowledge-library/tipologia/</t>
  </si>
  <si>
    <t>[tipologia]</t>
  </si>
  <si>
    <t>/knowledge-library/[tipologia]/</t>
  </si>
  <si>
    <t>Spec: Normativa, Giurisprudenza, Prassi amministrativa, Documenti di studio, FAQ, Risorse utili, Guide e tutorial</t>
  </si>
  <si>
    <t>P17</t>
  </si>
  <si>
    <t>Singola risorsa (norma, sentenza, documento)</t>
  </si>
  <si>
    <t>[slug-risorsa]</t>
  </si>
  <si>
    <t>/knowledge-library/[tipologia]/[slug-risorsa]/</t>
  </si>
  <si>
    <t>Spec Knowledge Hub</t>
  </si>
  <si>
    <t>P18</t>
  </si>
  <si>
    <t>Contatti</t>
  </si>
  <si>
    <t>contatti</t>
  </si>
  <si>
    <t>/contatti/</t>
  </si>
  <si>
    <t>Menu 9; spec Contatti</t>
  </si>
  <si>
    <t>P19</t>
  </si>
  <si>
    <t>Utility</t>
  </si>
  <si>
    <t>Risultati ricerca interna</t>
  </si>
  <si>
    <t>cerca</t>
  </si>
  <si>
    <t>/cerca/</t>
  </si>
  <si>
    <t>Top bar: lente di ricerca</t>
  </si>
  <si>
    <t>Galvani Fiduciaria e Argos Trustees: nasce AG Trustees</t>
  </si>
  <si>
    <t>P20</t>
  </si>
  <si>
    <t>Newsletter</t>
  </si>
  <si>
    <t>newsletter</t>
  </si>
  <si>
    <t>Come nasce AG Trustees, quale esperienza confluisce dalle due società e come proseguono incarichi e rapporti con clienti e professionisti.</t>
  </si>
  <si>
    <t>/newsletter/</t>
  </si>
  <si>
    <t>Spec: voce in AG Informa + blocco in Home e Contatti (Brevo)</t>
  </si>
  <si>
    <t>P21</t>
  </si>
  <si>
    <t>Footer</t>
  </si>
  <si>
    <t>Privacy policy</t>
  </si>
  <si>
    <t>Pagina legale</t>
  </si>
  <si>
    <t>privacy-policy</t>
  </si>
  <si>
    <t>/privacy-policy/</t>
  </si>
  <si>
    <t>P22</t>
  </si>
  <si>
    <t>Cookie policy</t>
  </si>
  <si>
    <t>cookie-policy</t>
  </si>
  <si>
    <t>/cookie-policy/</t>
  </si>
  <si>
    <t>P23</t>
  </si>
  <si>
    <t>Credits</t>
  </si>
  <si>
    <t>credits</t>
  </si>
  <si>
    <t>/credits/</t>
  </si>
  <si>
    <t>P24</t>
  </si>
  <si>
    <t>Richiesta di accesso ai dati</t>
  </si>
  <si>
    <t>richiesta-accesso-dati</t>
  </si>
  <si>
    <t>/richiesta-accesso-dati/</t>
  </si>
  <si>
    <t>Visione e metodo di lavoro | AG Trustees</t>
  </si>
  <si>
    <t>Footer: 'Data access request ??'</t>
  </si>
  <si>
    <t>P25</t>
  </si>
  <si>
    <t>Comprendere, amministrare, accompagnare: i principi e il metodo con cui AG Trustees assume e gestisce ogni incarico di trustee.</t>
  </si>
  <si>
    <t>Pagina 404</t>
  </si>
  <si>
    <t>P26</t>
  </si>
  <si>
    <t>Informazioni socetarie</t>
  </si>
  <si>
    <t>Il team: professionisti del trust | AG Trustees</t>
  </si>
  <si>
    <t>Le persone di AG Trustees: competenze legali, fiscali e amministrative al servizio di trust, passaggio generazionale e tutela del patrimonio.</t>
  </si>
  <si>
    <t>Profilo team (template)</t>
  </si>
  <si>
    <t>{Nome Cognome}, {ruolo} | AG Trustees</t>
  </si>
  <si>
    <t>{Nome Cognome}, {ruolo} di AG Trustees: competenze, esperienze e contenuti pubblicati su trust e patrimonio.</t>
  </si>
  <si>
    <t>Trustee professionale e servizi per il trust | AG Trustees</t>
  </si>
  <si>
    <t>Istituzione e amministrazione del trust, incarichi di trustee, co-trustee e guardiano, contabilità e adempimenti fiscali: i servizi di AG Trustees.</t>
  </si>
  <si>
    <t>Family office e wealth planning | AG Trustees</t>
  </si>
  <si>
    <t>Coordinare il patrimonio familiare in una visione unitaria: che cos'è il family office, come funziona e quali vantaggi offre alla famiglia.</t>
  </si>
  <si>
    <t>Trust: cos'è, come funziona e a cosa serve | AG Trustees</t>
  </si>
  <si>
    <t>Che cos'è il trust, chi sono disponente, trustee, guardiano e beneficiari, quali beni si possono conferire e come funziona in Italia.</t>
  </si>
  <si>
    <t>Tutela e passaggio generazionale del patrimonio | AG Trustees</t>
  </si>
  <si>
    <t>Protezione del patrimonio, passaggio generazionale, impresa di famiglia e persone fragili: come il trust può dare continuità al patrimonio.</t>
  </si>
  <si>
    <t>AG Informa: notizie su trust, fiscalità e patrimonio</t>
  </si>
  <si>
    <t>Articoli, notizie ed eventi per seguire l'evoluzione della normativa su trust, successioni, fiscalità e passaggio generazionale.</t>
  </si>
  <si>
    <t>Articolo (template)</t>
  </si>
  <si>
    <t>{Titolo articolo} | AG Trustees</t>
  </si>
  <si>
    <t>{Risposta breve answer-first, 120–155 caratteri}</t>
  </si>
  <si>
    <t>Eventi, convegni e formazione su trust | AG Trustees</t>
  </si>
  <si>
    <t>Convegni, master e incontri formativi sul trust: i prossimi appuntamenti e l'archivio degli eventi organizzati o seguiti da AG Trustees.</t>
  </si>
  <si>
    <t>Tema (template)</t>
  </si>
  <si>
    <t>{Tema}: articoli e approfondimenti | AG Trustees</t>
  </si>
  <si>
    <t>{Testo introduttivo unico del tema, 120–155 caratteri}</t>
  </si>
  <si>
    <t>Biblioteca</t>
  </si>
  <si>
    <t>Normativa e giurisprudenza su trust | AG Trustees</t>
  </si>
  <si>
    <t>Norme, sentenze, prassi amministrativa e guide su trust, successioni e pianificazione patrimoniale, selezionate da AG Trustees.</t>
  </si>
  <si>
    <t>Tipologia (template)</t>
  </si>
  <si>
    <t>{Tipologia} sul trust | AG Trustees</t>
  </si>
  <si>
    <t>{Testo introduttivo unico della tipologia, 120–155 caratteri}</t>
  </si>
  <si>
    <t>Risorsa (template)</t>
  </si>
  <si>
    <t>{Titolo risorsa} | AG Trustees</t>
  </si>
  <si>
    <t>{Sintesi della risorsa: estremi, tema, perché è rilevante}</t>
  </si>
  <si>
    <t>Contatti e sedi | AG Trustees</t>
  </si>
  <si>
    <t>Contatti AG Trustees: recapiti, sedi e modulo per richiedere un confronto con un professionista su trust e patrimonio.</t>
  </si>
  <si>
    <t>Ricerca interna</t>
  </si>
  <si>
    <t>Risultati di ricerca | AG Trustees</t>
  </si>
  <si>
    <t>noindex, follow</t>
  </si>
  <si>
    <t>Newsletter su trust e patrimonio | AG Trustees</t>
  </si>
  <si>
    <t>Aggiornamenti su trust e patrimonio: nuovi articoli, novità normative ed eventi, ricevuti direttamente nella sua casella email.</t>
  </si>
  <si>
    <t>Privacy policy | AG Trustees</t>
  </si>
  <si>
    <t>Informativa sul trattamento dei dati personali da parte di AG Trustees.</t>
  </si>
  <si>
    <t>Cookie policy | AG Trustees</t>
  </si>
  <si>
    <t>Informativa sull'uso dei cookie sul sito di AG Trustees.</t>
  </si>
  <si>
    <t>Credits | AG Trustees</t>
  </si>
  <si>
    <t>Richiesta accesso dati</t>
  </si>
  <si>
    <t>Richiesta di accesso ai dati | AG Trustees</t>
  </si>
  <si>
    <t>Pagina non trovata | AG Trustees</t>
  </si>
  <si>
    <t>noindex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</si>
</sst>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1F3A5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A5F"/>
        <bgColor rgb="FF1F3A5F"/>
      </patternFill>
    </fill>
    <fill>
      <patternFill patternType="solid">
        <fgColor rgb="FFE69138"/>
        <bgColor rgb="FFE69138"/>
      </patternFill>
    </fill>
    <fill>
      <patternFill patternType="solid">
        <fgColor rgb="FFEDEDED"/>
        <bgColor rgb="FFEDEDED"/>
      </patternFill>
    </fill>
  </fills>
  <borders count="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2" fillId="3" fontId="6" numFmtId="0" xfId="0" applyAlignment="1" applyBorder="1" applyFill="1" applyFont="1">
      <alignment shrinkToFit="0" vertical="center" wrapText="1"/>
    </xf>
    <xf borderId="3" fillId="3" fontId="6" numFmtId="0" xfId="0" applyAlignment="1" applyBorder="1" applyFill="1" applyFont="1">
      <alignment shrinkToFit="0" vertical="center" wrapText="1"/>
    </xf>
    <xf borderId="4" fillId="3" fontId="6" numFmtId="0" xfId="0" applyAlignment="1" applyBorder="1" applyFill="1" applyFont="1">
      <alignment shrinkToFit="0" vertical="center" wrapText="1"/>
    </xf>
    <xf borderId="5" fillId="3" fontId="6" numFmtId="0" xfId="0" applyAlignment="1" applyBorder="1" applyFill="1" applyFont="1">
      <alignment shrinkToFit="0" vertical="center" wrapText="1"/>
    </xf>
    <xf borderId="2" fillId="0" fontId="7" numFmtId="0" xfId="0" applyAlignment="1" applyBorder="1" applyFont="1">
      <alignment shrinkToFit="0" vertical="top" wrapText="1"/>
    </xf>
    <xf borderId="2" fillId="2" fontId="7" numFmtId="0" xfId="0" applyAlignment="1" applyBorder="1" applyFill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2" fillId="4" fontId="7" numFmtId="0" xfId="0" applyAlignment="1" applyBorder="1" applyFill="1" applyFont="1">
      <alignment shrinkToFit="0" vertical="top" wrapText="1"/>
    </xf>
    <xf borderId="2" fillId="4" fontId="9" numFmtId="0" xfId="0" applyAlignment="1" applyBorder="1" applyFill="1" applyFont="1">
      <alignment shrinkToFit="0" vertical="top" wrapText="1"/>
    </xf>
    <xf borderId="0" fillId="4" fontId="10" numFmtId="0" xfId="0" applyFill="1" applyFont="1"/>
    <xf borderId="3" fillId="0" fontId="7" numFmtId="0" xfId="0" applyAlignment="1" applyBorder="1" applyFont="1">
      <alignment shrinkToFit="0" vertical="top" wrapText="1"/>
    </xf>
    <xf borderId="4" fillId="2" fontId="11" numFmtId="0" xfId="0" applyBorder="1" applyFill="1" applyFont="1"/>
    <xf borderId="2" fillId="0" fontId="7" numFmtId="0" xfId="0" applyAlignment="1" applyBorder="1" applyFont="1">
      <alignment readingOrder="0" shrinkToFit="0" vertical="top" wrapText="1"/>
    </xf>
    <xf borderId="2" fillId="2" fontId="7" numFmtId="0" xfId="0" applyAlignment="1" applyBorder="1" applyFill="1" applyFont="1">
      <alignment readingOrder="0" shrinkToFit="0" vertical="top" wrapText="1"/>
    </xf>
    <xf borderId="2" fillId="5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20.71"/>
    <col customWidth="1" min="3" max="3" width="38.86"/>
    <col customWidth="1" min="4" max="4" width="16.0"/>
    <col customWidth="1" min="5" max="5" width="13.71"/>
    <col customWidth="1" min="6" max="6" width="20.0"/>
    <col customWidth="1" min="7" max="7" width="30.0"/>
    <col customWidth="1" min="8" max="8" width="38.0"/>
    <col customWidth="1" min="9" max="9" width="46.0"/>
    <col customWidth="1" min="10" max="10" width="10.0"/>
    <col customWidth="1" min="11" max="11" width="12.0"/>
    <col customWidth="1" min="12" max="12" width="34.0"/>
    <col customWidth="1" min="13" max="13" width="70.0"/>
    <col customWidth="1" min="14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2.0" customHeight="1">
      <c r="A2" s="4" t="s">
        <v>2</v>
      </c>
      <c r="B2" s="2"/>
      <c r="C2" s="5" t="s">
        <v>3</v>
      </c>
      <c r="D2" s="2"/>
      <c r="E2" s="6" t="s">
        <v>5</v>
      </c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1.5" customHeight="1">
      <c r="A4" s="7" t="s">
        <v>6</v>
      </c>
      <c r="B4" s="7" t="s">
        <v>14</v>
      </c>
      <c r="C4" s="7" t="s">
        <v>7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22</v>
      </c>
      <c r="J4" s="7" t="s">
        <v>23</v>
      </c>
      <c r="K4" s="7" t="s">
        <v>25</v>
      </c>
      <c r="L4" s="7" t="s">
        <v>26</v>
      </c>
      <c r="M4" s="7"/>
    </row>
    <row r="5" ht="15.0" customHeight="1">
      <c r="A5" s="11" t="s">
        <v>27</v>
      </c>
      <c r="B5" s="11" t="s">
        <v>28</v>
      </c>
      <c r="C5" s="11" t="s">
        <v>28</v>
      </c>
      <c r="D5" s="11" t="s">
        <v>7</v>
      </c>
      <c r="E5" s="11">
        <v>0.0</v>
      </c>
      <c r="F5" s="11" t="s">
        <v>29</v>
      </c>
      <c r="G5" s="12"/>
      <c r="H5" s="12" t="s">
        <v>30</v>
      </c>
      <c r="I5" s="13" t="str">
        <f t="shared" ref="I5:I29" si="1">IF(OR(H5="",H5="–"),"",$C$2&amp;H5)</f>
        <v>https://agtrustees.it/</v>
      </c>
      <c r="J5" s="11" t="s">
        <v>31</v>
      </c>
      <c r="K5" s="11" t="s">
        <v>32</v>
      </c>
      <c r="L5" s="11" t="s">
        <v>33</v>
      </c>
      <c r="M5" s="11"/>
    </row>
    <row r="6" ht="23.25" customHeight="1">
      <c r="A6" s="11" t="s">
        <v>34</v>
      </c>
      <c r="B6" s="11" t="s">
        <v>35</v>
      </c>
      <c r="C6" s="11" t="s">
        <v>35</v>
      </c>
      <c r="D6" s="11" t="s">
        <v>7</v>
      </c>
      <c r="E6" s="11">
        <v>1.0</v>
      </c>
      <c r="F6" s="11" t="s">
        <v>29</v>
      </c>
      <c r="G6" s="12" t="s">
        <v>36</v>
      </c>
      <c r="H6" s="12" t="s">
        <v>37</v>
      </c>
      <c r="I6" s="13" t="str">
        <f t="shared" si="1"/>
        <v>https://agtrustees.it/chi-siamo/</v>
      </c>
      <c r="J6" s="11" t="s">
        <v>31</v>
      </c>
      <c r="K6" s="11" t="s">
        <v>32</v>
      </c>
      <c r="L6" s="11" t="s">
        <v>38</v>
      </c>
      <c r="M6" s="11"/>
    </row>
    <row r="7" ht="45.75" customHeight="1">
      <c r="A7" s="11" t="s">
        <v>39</v>
      </c>
      <c r="B7" s="11" t="s">
        <v>35</v>
      </c>
      <c r="C7" s="11" t="s">
        <v>40</v>
      </c>
      <c r="D7" s="11" t="s">
        <v>7</v>
      </c>
      <c r="E7" s="11">
        <v>2.0</v>
      </c>
      <c r="F7" s="11" t="s">
        <v>37</v>
      </c>
      <c r="G7" s="12" t="s">
        <v>41</v>
      </c>
      <c r="H7" s="12" t="s">
        <v>42</v>
      </c>
      <c r="I7" s="13" t="str">
        <f t="shared" si="1"/>
        <v>https://agtrustees.it/chi-siamo/galvani-fiduciaria-argos-trustees/</v>
      </c>
      <c r="J7" s="11" t="s">
        <v>31</v>
      </c>
      <c r="K7" s="11" t="s">
        <v>43</v>
      </c>
      <c r="L7" s="11" t="s">
        <v>44</v>
      </c>
      <c r="M7" s="11"/>
    </row>
    <row r="8" ht="15.0" customHeight="1">
      <c r="A8" s="11" t="s">
        <v>45</v>
      </c>
      <c r="B8" s="11" t="s">
        <v>35</v>
      </c>
      <c r="C8" s="11" t="s">
        <v>46</v>
      </c>
      <c r="D8" s="11" t="s">
        <v>7</v>
      </c>
      <c r="E8" s="11">
        <v>2.0</v>
      </c>
      <c r="F8" s="11" t="s">
        <v>37</v>
      </c>
      <c r="G8" s="12" t="s">
        <v>47</v>
      </c>
      <c r="H8" s="12" t="s">
        <v>48</v>
      </c>
      <c r="I8" s="13" t="str">
        <f t="shared" si="1"/>
        <v>https://agtrustees.it/chi-siamo/visione-metodologia/</v>
      </c>
      <c r="J8" s="11" t="s">
        <v>31</v>
      </c>
      <c r="K8" s="11" t="s">
        <v>32</v>
      </c>
      <c r="L8" s="11" t="s">
        <v>49</v>
      </c>
      <c r="M8" s="11"/>
    </row>
    <row r="9" ht="15.0" customHeight="1">
      <c r="A9" s="11" t="s">
        <v>50</v>
      </c>
      <c r="B9" s="11" t="s">
        <v>35</v>
      </c>
      <c r="C9" s="11" t="s">
        <v>51</v>
      </c>
      <c r="D9" s="11" t="s">
        <v>52</v>
      </c>
      <c r="E9" s="11">
        <v>2.0</v>
      </c>
      <c r="F9" s="11" t="s">
        <v>37</v>
      </c>
      <c r="G9" s="12" t="s">
        <v>53</v>
      </c>
      <c r="H9" s="12" t="s">
        <v>54</v>
      </c>
      <c r="I9" s="13" t="str">
        <f t="shared" si="1"/>
        <v>https://agtrustees.it/chi-siamo/team/</v>
      </c>
      <c r="J9" s="11" t="s">
        <v>31</v>
      </c>
      <c r="K9" s="11" t="s">
        <v>32</v>
      </c>
      <c r="L9" s="11" t="s">
        <v>55</v>
      </c>
      <c r="M9" s="11"/>
    </row>
    <row r="10" ht="23.25" customHeight="1">
      <c r="A10" s="11" t="s">
        <v>56</v>
      </c>
      <c r="B10" s="11" t="s">
        <v>35</v>
      </c>
      <c r="C10" s="11" t="s">
        <v>57</v>
      </c>
      <c r="D10" s="11" t="s">
        <v>58</v>
      </c>
      <c r="E10" s="11">
        <v>3.0</v>
      </c>
      <c r="F10" s="11" t="s">
        <v>54</v>
      </c>
      <c r="G10" s="12" t="s">
        <v>59</v>
      </c>
      <c r="H10" s="12" t="s">
        <v>60</v>
      </c>
      <c r="I10" s="11" t="str">
        <f t="shared" si="1"/>
        <v>https://agtrustees.it/chi-siamo/team/[nome-cognome]/</v>
      </c>
      <c r="J10" s="11" t="s">
        <v>31</v>
      </c>
      <c r="K10" s="11" t="s">
        <v>32</v>
      </c>
      <c r="L10" s="11" t="s">
        <v>61</v>
      </c>
      <c r="M10" s="11"/>
    </row>
    <row r="11" ht="23.25" customHeight="1">
      <c r="A11" s="11" t="s">
        <v>63</v>
      </c>
      <c r="B11" s="11" t="s">
        <v>64</v>
      </c>
      <c r="C11" s="11" t="s">
        <v>64</v>
      </c>
      <c r="D11" s="11" t="s">
        <v>7</v>
      </c>
      <c r="E11" s="11">
        <v>1.0</v>
      </c>
      <c r="F11" s="11" t="s">
        <v>29</v>
      </c>
      <c r="G11" s="12" t="s">
        <v>65</v>
      </c>
      <c r="H11" s="12" t="s">
        <v>66</v>
      </c>
      <c r="I11" s="13" t="str">
        <f t="shared" si="1"/>
        <v>https://agtrustees.it/servizi/</v>
      </c>
      <c r="J11" s="11" t="s">
        <v>31</v>
      </c>
      <c r="K11" s="11" t="s">
        <v>32</v>
      </c>
      <c r="L11" s="11" t="s">
        <v>67</v>
      </c>
      <c r="M11" s="11"/>
    </row>
    <row r="12" ht="23.25" customHeight="1">
      <c r="A12" s="14" t="s">
        <v>68</v>
      </c>
      <c r="B12" s="14" t="s">
        <v>64</v>
      </c>
      <c r="C12" s="14" t="s">
        <v>69</v>
      </c>
      <c r="D12" s="14" t="s">
        <v>7</v>
      </c>
      <c r="E12" s="14">
        <v>2.0</v>
      </c>
      <c r="F12" s="14" t="s">
        <v>66</v>
      </c>
      <c r="G12" s="14" t="s">
        <v>70</v>
      </c>
      <c r="H12" s="14" t="s">
        <v>71</v>
      </c>
      <c r="I12" s="15" t="str">
        <f t="shared" si="1"/>
        <v>https://agtrustees.it/servizi/family-office/</v>
      </c>
      <c r="J12" s="14" t="s">
        <v>31</v>
      </c>
      <c r="K12" s="14" t="s">
        <v>43</v>
      </c>
      <c r="L12" s="14" t="s">
        <v>72</v>
      </c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3.25" customHeight="1">
      <c r="A13" s="11" t="s">
        <v>73</v>
      </c>
      <c r="B13" s="11" t="s">
        <v>74</v>
      </c>
      <c r="C13" s="11" t="s">
        <v>74</v>
      </c>
      <c r="D13" s="11" t="s">
        <v>75</v>
      </c>
      <c r="E13" s="11">
        <v>1.0</v>
      </c>
      <c r="F13" s="11" t="s">
        <v>29</v>
      </c>
      <c r="G13" s="12" t="s">
        <v>76</v>
      </c>
      <c r="H13" s="12" t="s">
        <v>77</v>
      </c>
      <c r="I13" s="13" t="str">
        <f t="shared" si="1"/>
        <v>https://agtrustees.it/trust/</v>
      </c>
      <c r="J13" s="11" t="s">
        <v>31</v>
      </c>
      <c r="K13" s="11" t="s">
        <v>32</v>
      </c>
      <c r="L13" s="11" t="s">
        <v>79</v>
      </c>
      <c r="M13" s="11"/>
    </row>
    <row r="14" ht="23.25" customHeight="1">
      <c r="A14" s="11" t="s">
        <v>80</v>
      </c>
      <c r="B14" s="11" t="s">
        <v>81</v>
      </c>
      <c r="C14" s="11" t="s">
        <v>81</v>
      </c>
      <c r="D14" s="11" t="s">
        <v>7</v>
      </c>
      <c r="E14" s="11">
        <v>1.0</v>
      </c>
      <c r="F14" s="11" t="s">
        <v>29</v>
      </c>
      <c r="G14" s="12" t="s">
        <v>82</v>
      </c>
      <c r="H14" s="12" t="s">
        <v>83</v>
      </c>
      <c r="I14" s="13" t="str">
        <f t="shared" si="1"/>
        <v>https://agtrustees.it/patrimonio/</v>
      </c>
      <c r="J14" s="11" t="s">
        <v>31</v>
      </c>
      <c r="K14" s="11" t="s">
        <v>32</v>
      </c>
      <c r="L14" s="11" t="s">
        <v>85</v>
      </c>
      <c r="M14" s="11"/>
    </row>
    <row r="15" ht="15.0" customHeight="1">
      <c r="A15" s="11" t="s">
        <v>86</v>
      </c>
      <c r="B15" s="11" t="s">
        <v>87</v>
      </c>
      <c r="C15" s="11" t="s">
        <v>87</v>
      </c>
      <c r="D15" s="11" t="s">
        <v>88</v>
      </c>
      <c r="E15" s="11">
        <v>1.0</v>
      </c>
      <c r="F15" s="11" t="s">
        <v>29</v>
      </c>
      <c r="G15" s="12" t="s">
        <v>89</v>
      </c>
      <c r="H15" s="12" t="s">
        <v>90</v>
      </c>
      <c r="I15" s="13" t="str">
        <f t="shared" si="1"/>
        <v>https://agtrustees.it/ag-informa/</v>
      </c>
      <c r="J15" s="11" t="s">
        <v>31</v>
      </c>
      <c r="K15" s="11" t="s">
        <v>32</v>
      </c>
      <c r="L15" s="11" t="s">
        <v>91</v>
      </c>
      <c r="M15" s="11"/>
    </row>
    <row r="16" ht="34.5" customHeight="1">
      <c r="A16" s="11" t="s">
        <v>92</v>
      </c>
      <c r="B16" s="11" t="s">
        <v>87</v>
      </c>
      <c r="C16" s="11" t="s">
        <v>93</v>
      </c>
      <c r="D16" s="11" t="s">
        <v>58</v>
      </c>
      <c r="E16" s="11">
        <v>2.0</v>
      </c>
      <c r="F16" s="11" t="s">
        <v>90</v>
      </c>
      <c r="G16" s="12" t="s">
        <v>94</v>
      </c>
      <c r="H16" s="12" t="s">
        <v>95</v>
      </c>
      <c r="I16" s="11" t="str">
        <f t="shared" si="1"/>
        <v>https://agtrustees.it/ag-informa/[slug-articolo]/</v>
      </c>
      <c r="J16" s="11" t="s">
        <v>31</v>
      </c>
      <c r="K16" s="11" t="s">
        <v>32</v>
      </c>
      <c r="L16" s="11" t="s">
        <v>96</v>
      </c>
      <c r="M16" s="11"/>
    </row>
    <row r="17" ht="34.5" customHeight="1">
      <c r="A17" s="11" t="s">
        <v>97</v>
      </c>
      <c r="B17" s="11" t="s">
        <v>98</v>
      </c>
      <c r="C17" s="11" t="s">
        <v>99</v>
      </c>
      <c r="D17" s="11" t="s">
        <v>100</v>
      </c>
      <c r="E17" s="19">
        <v>1.0</v>
      </c>
      <c r="F17" s="19" t="s">
        <v>101</v>
      </c>
      <c r="G17" s="20" t="s">
        <v>102</v>
      </c>
      <c r="H17" s="20" t="s">
        <v>101</v>
      </c>
      <c r="I17" s="13" t="str">
        <f t="shared" si="1"/>
        <v>https://agtrustees.it/eventi-in-agenda/</v>
      </c>
      <c r="J17" s="11" t="s">
        <v>31</v>
      </c>
      <c r="K17" s="11" t="s">
        <v>43</v>
      </c>
      <c r="L17" s="11" t="s">
        <v>103</v>
      </c>
      <c r="M17" s="11"/>
    </row>
    <row r="18" ht="45.75" customHeight="1">
      <c r="A18" s="11" t="s">
        <v>104</v>
      </c>
      <c r="B18" s="11" t="s">
        <v>87</v>
      </c>
      <c r="C18" s="11" t="s">
        <v>105</v>
      </c>
      <c r="D18" s="11" t="s">
        <v>106</v>
      </c>
      <c r="E18" s="11">
        <v>3.0</v>
      </c>
      <c r="F18" s="11" t="s">
        <v>107</v>
      </c>
      <c r="G18" s="12" t="s">
        <v>108</v>
      </c>
      <c r="H18" s="12" t="s">
        <v>109</v>
      </c>
      <c r="I18" s="11" t="str">
        <f t="shared" si="1"/>
        <v>https://agtrustees.it/ag-informa/temi/[tema]/</v>
      </c>
      <c r="J18" s="11" t="s">
        <v>43</v>
      </c>
      <c r="K18" s="11" t="s">
        <v>43</v>
      </c>
      <c r="L18" s="11" t="s">
        <v>110</v>
      </c>
      <c r="M18" s="11"/>
    </row>
    <row r="19" ht="45.75" customHeight="1">
      <c r="A19" s="11" t="s">
        <v>111</v>
      </c>
      <c r="B19" s="19" t="s">
        <v>112</v>
      </c>
      <c r="C19" s="19" t="s">
        <v>112</v>
      </c>
      <c r="D19" s="11" t="s">
        <v>88</v>
      </c>
      <c r="E19" s="11">
        <v>1.0</v>
      </c>
      <c r="F19" s="19" t="s">
        <v>114</v>
      </c>
      <c r="G19" s="20" t="s">
        <v>115</v>
      </c>
      <c r="H19" s="20" t="s">
        <v>114</v>
      </c>
      <c r="I19" s="13" t="str">
        <f t="shared" si="1"/>
        <v>https://agtrustees.it/knowledge-library/</v>
      </c>
      <c r="J19" s="11" t="s">
        <v>31</v>
      </c>
      <c r="K19" s="11" t="s">
        <v>43</v>
      </c>
      <c r="L19" s="11" t="s">
        <v>117</v>
      </c>
      <c r="M19" s="11"/>
    </row>
    <row r="20" ht="45.75" customHeight="1">
      <c r="A20" s="11" t="s">
        <v>118</v>
      </c>
      <c r="B20" s="19" t="s">
        <v>112</v>
      </c>
      <c r="C20" s="11" t="s">
        <v>119</v>
      </c>
      <c r="D20" s="11" t="s">
        <v>106</v>
      </c>
      <c r="E20" s="11">
        <v>2.0</v>
      </c>
      <c r="F20" s="19" t="s">
        <v>121</v>
      </c>
      <c r="G20" s="12" t="s">
        <v>122</v>
      </c>
      <c r="H20" s="20" t="s">
        <v>123</v>
      </c>
      <c r="I20" s="11" t="str">
        <f t="shared" si="1"/>
        <v>https://agtrustees.it/knowledge-library/[tipologia]/</v>
      </c>
      <c r="J20" s="11" t="s">
        <v>31</v>
      </c>
      <c r="K20" s="11" t="s">
        <v>32</v>
      </c>
      <c r="L20" s="11" t="s">
        <v>124</v>
      </c>
      <c r="M20" s="11"/>
    </row>
    <row r="21" ht="45.75" customHeight="1">
      <c r="A21" s="11" t="s">
        <v>125</v>
      </c>
      <c r="B21" s="19" t="s">
        <v>112</v>
      </c>
      <c r="C21" s="11" t="s">
        <v>126</v>
      </c>
      <c r="D21" s="11" t="s">
        <v>58</v>
      </c>
      <c r="E21" s="11">
        <v>3.0</v>
      </c>
      <c r="F21" s="19" t="s">
        <v>123</v>
      </c>
      <c r="G21" s="12" t="s">
        <v>127</v>
      </c>
      <c r="H21" s="20" t="s">
        <v>128</v>
      </c>
      <c r="I21" s="11" t="str">
        <f t="shared" si="1"/>
        <v>https://agtrustees.it/knowledge-library/[tipologia]/[slug-risorsa]/</v>
      </c>
      <c r="J21" s="11" t="s">
        <v>31</v>
      </c>
      <c r="K21" s="11" t="s">
        <v>32</v>
      </c>
      <c r="L21" s="11" t="s">
        <v>129</v>
      </c>
      <c r="M21" s="11"/>
    </row>
    <row r="22" ht="23.25" customHeight="1">
      <c r="A22" s="11" t="s">
        <v>130</v>
      </c>
      <c r="B22" s="11" t="s">
        <v>131</v>
      </c>
      <c r="C22" s="11" t="s">
        <v>131</v>
      </c>
      <c r="D22" s="11" t="s">
        <v>7</v>
      </c>
      <c r="E22" s="11">
        <v>1.0</v>
      </c>
      <c r="F22" s="11" t="s">
        <v>29</v>
      </c>
      <c r="G22" s="12" t="s">
        <v>132</v>
      </c>
      <c r="H22" s="12" t="s">
        <v>133</v>
      </c>
      <c r="I22" s="13" t="str">
        <f t="shared" si="1"/>
        <v>https://agtrustees.it/contatti/</v>
      </c>
      <c r="J22" s="11" t="s">
        <v>31</v>
      </c>
      <c r="K22" s="11" t="s">
        <v>32</v>
      </c>
      <c r="L22" s="11" t="s">
        <v>134</v>
      </c>
      <c r="M22" s="11"/>
    </row>
    <row r="23" ht="23.25" customHeight="1">
      <c r="A23" s="11" t="s">
        <v>135</v>
      </c>
      <c r="B23" s="11" t="s">
        <v>136</v>
      </c>
      <c r="C23" s="11" t="s">
        <v>137</v>
      </c>
      <c r="D23" s="11" t="s">
        <v>136</v>
      </c>
      <c r="E23" s="11">
        <v>1.0</v>
      </c>
      <c r="F23" s="11" t="s">
        <v>29</v>
      </c>
      <c r="G23" s="12" t="s">
        <v>138</v>
      </c>
      <c r="H23" s="12" t="s">
        <v>139</v>
      </c>
      <c r="I23" s="13" t="str">
        <f t="shared" si="1"/>
        <v>https://agtrustees.it/cerca/</v>
      </c>
      <c r="J23" s="11" t="s">
        <v>31</v>
      </c>
      <c r="K23" s="11" t="s">
        <v>32</v>
      </c>
      <c r="L23" s="11" t="s">
        <v>140</v>
      </c>
      <c r="M23" s="11"/>
    </row>
    <row r="24" ht="23.25" customHeight="1">
      <c r="A24" s="11" t="s">
        <v>142</v>
      </c>
      <c r="B24" s="11" t="s">
        <v>87</v>
      </c>
      <c r="C24" s="11" t="s">
        <v>143</v>
      </c>
      <c r="D24" s="11" t="s">
        <v>7</v>
      </c>
      <c r="E24" s="11">
        <v>1.0</v>
      </c>
      <c r="F24" s="11" t="s">
        <v>29</v>
      </c>
      <c r="G24" s="12" t="s">
        <v>144</v>
      </c>
      <c r="H24" s="12" t="s">
        <v>146</v>
      </c>
      <c r="I24" s="13" t="str">
        <f t="shared" si="1"/>
        <v>https://agtrustees.it/newsletter/</v>
      </c>
      <c r="J24" s="11" t="s">
        <v>43</v>
      </c>
      <c r="K24" s="11" t="s">
        <v>43</v>
      </c>
      <c r="L24" s="11" t="s">
        <v>147</v>
      </c>
      <c r="M24" s="11"/>
    </row>
    <row r="25" ht="15.0" customHeight="1">
      <c r="A25" s="11" t="s">
        <v>148</v>
      </c>
      <c r="B25" s="11" t="s">
        <v>149</v>
      </c>
      <c r="C25" s="11" t="s">
        <v>150</v>
      </c>
      <c r="D25" s="11" t="s">
        <v>151</v>
      </c>
      <c r="E25" s="11">
        <v>1.0</v>
      </c>
      <c r="F25" s="11" t="s">
        <v>29</v>
      </c>
      <c r="G25" s="12" t="s">
        <v>152</v>
      </c>
      <c r="H25" s="12" t="s">
        <v>153</v>
      </c>
      <c r="I25" s="13" t="str">
        <f t="shared" si="1"/>
        <v>https://agtrustees.it/privacy-policy/</v>
      </c>
      <c r="J25" s="11" t="s">
        <v>31</v>
      </c>
      <c r="K25" s="11" t="s">
        <v>32</v>
      </c>
      <c r="L25" s="11" t="s">
        <v>149</v>
      </c>
      <c r="M25" s="11"/>
    </row>
    <row r="26" ht="15.0" customHeight="1">
      <c r="A26" s="11" t="s">
        <v>154</v>
      </c>
      <c r="B26" s="11" t="s">
        <v>149</v>
      </c>
      <c r="C26" s="11" t="s">
        <v>155</v>
      </c>
      <c r="D26" s="11" t="s">
        <v>151</v>
      </c>
      <c r="E26" s="11">
        <v>1.0</v>
      </c>
      <c r="F26" s="11" t="s">
        <v>29</v>
      </c>
      <c r="G26" s="12" t="s">
        <v>156</v>
      </c>
      <c r="H26" s="12" t="s">
        <v>157</v>
      </c>
      <c r="I26" s="13" t="str">
        <f t="shared" si="1"/>
        <v>https://agtrustees.it/cookie-policy/</v>
      </c>
      <c r="J26" s="11" t="s">
        <v>31</v>
      </c>
      <c r="K26" s="11" t="s">
        <v>32</v>
      </c>
      <c r="L26" s="11" t="s">
        <v>149</v>
      </c>
      <c r="M26" s="11"/>
    </row>
    <row r="27" ht="15.0" customHeight="1">
      <c r="A27" s="11" t="s">
        <v>158</v>
      </c>
      <c r="B27" s="11" t="s">
        <v>149</v>
      </c>
      <c r="C27" s="11" t="s">
        <v>159</v>
      </c>
      <c r="D27" s="11" t="s">
        <v>151</v>
      </c>
      <c r="E27" s="11">
        <v>1.0</v>
      </c>
      <c r="F27" s="11" t="s">
        <v>29</v>
      </c>
      <c r="G27" s="12" t="s">
        <v>160</v>
      </c>
      <c r="H27" s="12" t="s">
        <v>161</v>
      </c>
      <c r="I27" s="13" t="str">
        <f t="shared" si="1"/>
        <v>https://agtrustees.it/credits/</v>
      </c>
      <c r="J27" s="11" t="s">
        <v>31</v>
      </c>
      <c r="K27" s="11" t="s">
        <v>32</v>
      </c>
      <c r="L27" s="11" t="s">
        <v>149</v>
      </c>
      <c r="M27" s="11"/>
    </row>
    <row r="28" ht="23.25" customHeight="1">
      <c r="A28" s="11" t="s">
        <v>162</v>
      </c>
      <c r="B28" s="11" t="s">
        <v>149</v>
      </c>
      <c r="C28" s="11" t="s">
        <v>163</v>
      </c>
      <c r="D28" s="11" t="s">
        <v>151</v>
      </c>
      <c r="E28" s="11">
        <v>1.0</v>
      </c>
      <c r="F28" s="11" t="s">
        <v>29</v>
      </c>
      <c r="G28" s="12" t="s">
        <v>164</v>
      </c>
      <c r="H28" s="12" t="s">
        <v>165</v>
      </c>
      <c r="I28" s="13" t="str">
        <f t="shared" si="1"/>
        <v>https://agtrustees.it/richiesta-accesso-dati/</v>
      </c>
      <c r="J28" s="11" t="s">
        <v>43</v>
      </c>
      <c r="K28" s="11" t="s">
        <v>43</v>
      </c>
      <c r="L28" s="11" t="s">
        <v>167</v>
      </c>
      <c r="M28" s="11"/>
    </row>
    <row r="29" ht="23.25" customHeight="1">
      <c r="A29" s="11" t="s">
        <v>168</v>
      </c>
      <c r="B29" s="11" t="s">
        <v>136</v>
      </c>
      <c r="C29" s="11" t="s">
        <v>170</v>
      </c>
      <c r="D29" s="11" t="s">
        <v>136</v>
      </c>
      <c r="E29" s="11" t="s">
        <v>29</v>
      </c>
      <c r="F29" s="11" t="s">
        <v>29</v>
      </c>
      <c r="G29" s="12" t="s">
        <v>29</v>
      </c>
      <c r="H29" s="12" t="s">
        <v>29</v>
      </c>
      <c r="I29" s="11" t="str">
        <f t="shared" si="1"/>
        <v/>
      </c>
      <c r="J29" s="11" t="s">
        <v>31</v>
      </c>
      <c r="K29" s="11" t="s">
        <v>32</v>
      </c>
      <c r="L29" s="11" t="s">
        <v>29</v>
      </c>
      <c r="M29" s="11"/>
    </row>
    <row r="30" ht="23.25" customHeight="1">
      <c r="A30" s="21" t="s">
        <v>171</v>
      </c>
      <c r="B30" s="21" t="s">
        <v>172</v>
      </c>
      <c r="C30" s="21"/>
      <c r="D30" s="21"/>
      <c r="E30" s="21"/>
      <c r="F30" s="21"/>
      <c r="G30" s="12"/>
      <c r="H30" s="12"/>
      <c r="I30" s="21"/>
      <c r="J30" s="21"/>
      <c r="K30" s="21"/>
      <c r="L30" s="21"/>
      <c r="M30" s="21"/>
    </row>
    <row r="31" ht="15.0" customHeight="1">
      <c r="A31" s="21"/>
      <c r="B31" s="21"/>
      <c r="C31" s="21"/>
      <c r="D31" s="21"/>
      <c r="E31" s="21"/>
      <c r="F31" s="21"/>
      <c r="G31" s="12"/>
      <c r="H31" s="12"/>
      <c r="I31" s="21"/>
      <c r="J31" s="21"/>
      <c r="K31" s="21"/>
      <c r="L31" s="21"/>
      <c r="M31" s="21"/>
    </row>
    <row r="32" ht="23.25" customHeight="1">
      <c r="A32" s="21"/>
      <c r="B32" s="21"/>
      <c r="C32" s="21"/>
      <c r="D32" s="21"/>
      <c r="E32" s="21"/>
      <c r="F32" s="21"/>
      <c r="G32" s="12"/>
      <c r="H32" s="12"/>
      <c r="I32" s="21"/>
      <c r="J32" s="21"/>
      <c r="K32" s="21"/>
      <c r="L32" s="21"/>
      <c r="M32" s="21"/>
    </row>
    <row r="33" ht="15.0" customHeight="1">
      <c r="A33" s="21"/>
      <c r="B33" s="21"/>
      <c r="C33" s="21"/>
      <c r="D33" s="21"/>
      <c r="E33" s="21"/>
      <c r="F33" s="21"/>
      <c r="G33" s="12"/>
      <c r="H33" s="12"/>
      <c r="I33" s="21"/>
      <c r="J33" s="21"/>
      <c r="K33" s="21"/>
      <c r="L33" s="21"/>
      <c r="M33" s="21"/>
    </row>
    <row r="34" ht="23.25" customHeight="1">
      <c r="A34" s="21"/>
      <c r="B34" s="21"/>
      <c r="C34" s="21"/>
      <c r="D34" s="21"/>
      <c r="E34" s="21"/>
      <c r="F34" s="21"/>
      <c r="G34" s="12"/>
      <c r="H34" s="12"/>
      <c r="I34" s="21"/>
      <c r="J34" s="21"/>
      <c r="K34" s="21"/>
      <c r="L34" s="21"/>
      <c r="M34" s="21"/>
    </row>
    <row r="35" ht="57.75" customHeight="1">
      <c r="A35" s="21"/>
      <c r="B35" s="21"/>
      <c r="C35" s="21"/>
      <c r="D35" s="21"/>
      <c r="E35" s="21"/>
      <c r="F35" s="21"/>
      <c r="G35" s="12"/>
      <c r="H35" s="12"/>
      <c r="I35" s="21"/>
      <c r="J35" s="21"/>
      <c r="K35" s="21"/>
      <c r="L35" s="21"/>
      <c r="M35" s="21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$A$4:$M$35"/>
  <mergeCells count="1">
    <mergeCell ref="E2:L2"/>
  </mergeCells>
  <conditionalFormatting sqref="K5:K35">
    <cfRule type="cellIs" dxfId="0" priority="1" operator="equal">
      <formula>"Da decidere"</formula>
    </cfRule>
  </conditionalFormatting>
  <conditionalFormatting sqref="K5:K35">
    <cfRule type="cellIs" dxfId="1" priority="2" operator="equal">
      <formula>"Confermato"</formula>
    </cfRule>
  </conditionalFormatting>
  <dataValidations>
    <dataValidation type="list" allowBlank="1" sqref="K5:K35">
      <formula1>"Proposta,Da decidere,Confermato"</formula1>
    </dataValidation>
    <dataValidation type="list" allowBlank="1" sqref="J5:J35">
      <formula1>"Sì,Fase 2,Da decidere,Fuori perimetro"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34.0"/>
    <col customWidth="1" min="4" max="4" width="36.0"/>
    <col customWidth="1" min="5" max="5" width="44.0"/>
    <col customWidth="1" min="6" max="6" width="13.71"/>
    <col customWidth="1" min="7" max="7" width="60.0"/>
    <col customWidth="1" min="8" max="8" width="12.86"/>
    <col customWidth="1" min="9" max="9" width="14.0"/>
    <col customWidth="1" min="10" max="10" width="27.0"/>
    <col customWidth="1" min="11" max="11" width="30.57"/>
    <col customWidth="1" min="12" max="21" width="8.71"/>
  </cols>
  <sheetData>
    <row r="1" ht="17.25" customHeight="1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</row>
    <row r="2" ht="57.75" customHeight="1">
      <c r="A2" s="6" t="s">
        <v>4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 ht="31.5" customHeight="1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15</v>
      </c>
      <c r="J4" s="9" t="s">
        <v>21</v>
      </c>
      <c r="K4" s="9" t="s">
        <v>24</v>
      </c>
      <c r="L4" s="10"/>
    </row>
    <row r="5" ht="45.75" customHeight="1">
      <c r="A5" s="11" t="s">
        <v>27</v>
      </c>
      <c r="B5" s="11" t="s">
        <v>28</v>
      </c>
      <c r="C5" s="11" t="str">
        <f t="array" ref="C5">IFERROR(INDEX('1. Slug_Pagine statiche_ITA'!$H:$H,MATCH(A5,'1. Slug_Pagine statiche_ITA'!$A:$A,0)),"")</f>
        <v>/</v>
      </c>
      <c r="D5" s="12"/>
      <c r="E5" s="12" t="s">
        <v>62</v>
      </c>
      <c r="F5" s="11">
        <f t="shared" ref="F5:F29" si="1">IF(OR(E5="",E5="–"),"",LEN(E5))</f>
        <v>51</v>
      </c>
      <c r="G5" s="12" t="s">
        <v>78</v>
      </c>
      <c r="H5" s="11">
        <f t="shared" ref="H5:H29" si="2">IF(OR(G5="",G5="–"),"",LEN(G5))</f>
        <v>140</v>
      </c>
      <c r="I5" s="17" t="s">
        <v>84</v>
      </c>
      <c r="J5" s="18"/>
      <c r="K5" s="18"/>
    </row>
    <row r="6" ht="34.5" customHeight="1">
      <c r="A6" s="11" t="s">
        <v>34</v>
      </c>
      <c r="B6" s="11" t="s">
        <v>35</v>
      </c>
      <c r="C6" s="11" t="str">
        <f t="array" ref="C6">IFERROR(INDEX('1. Slug_Pagine statiche_ITA'!$H:$H,MATCH(A6,'1. Slug_Pagine statiche_ITA'!$A:$A,0)),"")</f>
        <v>/chi-siamo/</v>
      </c>
      <c r="D6" s="12"/>
      <c r="E6" s="12" t="s">
        <v>113</v>
      </c>
      <c r="F6" s="11">
        <f t="shared" si="1"/>
        <v>51</v>
      </c>
      <c r="G6" s="12" t="s">
        <v>116</v>
      </c>
      <c r="H6" s="11">
        <f t="shared" si="2"/>
        <v>142</v>
      </c>
      <c r="I6" s="17" t="s">
        <v>84</v>
      </c>
      <c r="J6" s="18"/>
      <c r="K6" s="18"/>
    </row>
    <row r="7" ht="34.5" customHeight="1">
      <c r="A7" s="11" t="s">
        <v>39</v>
      </c>
      <c r="B7" s="11" t="s">
        <v>120</v>
      </c>
      <c r="C7" s="11" t="str">
        <f t="array" ref="C7">IFERROR(INDEX('1. Slug_Pagine statiche_ITA'!$H:$H,MATCH(A7,'1. Slug_Pagine statiche_ITA'!$A:$A,0)),"")</f>
        <v>/chi-siamo/galvani-fiduciaria-argos-trustees/</v>
      </c>
      <c r="D7" s="12"/>
      <c r="E7" s="12" t="s">
        <v>141</v>
      </c>
      <c r="F7" s="11">
        <f t="shared" si="1"/>
        <v>54</v>
      </c>
      <c r="G7" s="12" t="s">
        <v>145</v>
      </c>
      <c r="H7" s="11">
        <f t="shared" si="2"/>
        <v>138</v>
      </c>
      <c r="I7" s="17" t="s">
        <v>84</v>
      </c>
      <c r="J7" s="18"/>
      <c r="K7" s="18"/>
    </row>
    <row r="8" ht="23.25" customHeight="1">
      <c r="A8" s="11" t="s">
        <v>45</v>
      </c>
      <c r="B8" s="11" t="s">
        <v>46</v>
      </c>
      <c r="C8" s="11" t="str">
        <f t="array" ref="C8">IFERROR(INDEX('1. Slug_Pagine statiche_ITA'!$H:$H,MATCH(A8,'1. Slug_Pagine statiche_ITA'!$A:$A,0)),"")</f>
        <v>/chi-siamo/visione-metodologia/</v>
      </c>
      <c r="D8" s="12"/>
      <c r="E8" s="12" t="s">
        <v>166</v>
      </c>
      <c r="F8" s="11">
        <f t="shared" si="1"/>
        <v>40</v>
      </c>
      <c r="G8" s="12" t="s">
        <v>169</v>
      </c>
      <c r="H8" s="11">
        <f t="shared" si="2"/>
        <v>127</v>
      </c>
      <c r="I8" s="17" t="s">
        <v>84</v>
      </c>
      <c r="J8" s="18"/>
      <c r="K8" s="18"/>
    </row>
    <row r="9" ht="23.25" customHeight="1">
      <c r="A9" s="11" t="s">
        <v>50</v>
      </c>
      <c r="B9" s="11" t="s">
        <v>51</v>
      </c>
      <c r="C9" s="11" t="str">
        <f t="array" ref="C9">IFERROR(INDEX('1. Slug_Pagine statiche_ITA'!$H:$H,MATCH(A9,'1. Slug_Pagine statiche_ITA'!$A:$A,0)),"")</f>
        <v>/chi-siamo/team/</v>
      </c>
      <c r="D9" s="12"/>
      <c r="E9" s="12" t="s">
        <v>173</v>
      </c>
      <c r="F9" s="11">
        <f t="shared" si="1"/>
        <v>47</v>
      </c>
      <c r="G9" s="12" t="s">
        <v>174</v>
      </c>
      <c r="H9" s="11">
        <f t="shared" si="2"/>
        <v>141</v>
      </c>
      <c r="I9" s="17" t="s">
        <v>84</v>
      </c>
      <c r="J9" s="18"/>
      <c r="K9" s="18"/>
    </row>
    <row r="10" ht="23.25" customHeight="1">
      <c r="A10" s="11" t="s">
        <v>56</v>
      </c>
      <c r="B10" s="11" t="s">
        <v>175</v>
      </c>
      <c r="C10" s="11" t="str">
        <f t="array" ref="C10">IFERROR(INDEX('1. Slug_Pagine statiche_ITA'!$H:$H,MATCH(A10,'1. Slug_Pagine statiche_ITA'!$A:$A,0)),"")</f>
        <v>/chi-siamo/team/[nome-cognome]/</v>
      </c>
      <c r="D10" s="12"/>
      <c r="E10" s="12" t="s">
        <v>176</v>
      </c>
      <c r="F10" s="11">
        <f t="shared" si="1"/>
        <v>37</v>
      </c>
      <c r="G10" s="12" t="s">
        <v>177</v>
      </c>
      <c r="H10" s="11">
        <f t="shared" si="2"/>
        <v>108</v>
      </c>
      <c r="I10" s="17" t="s">
        <v>84</v>
      </c>
      <c r="J10" s="18"/>
      <c r="K10" s="18"/>
    </row>
    <row r="11" ht="34.5" customHeight="1">
      <c r="A11" s="11" t="s">
        <v>63</v>
      </c>
      <c r="B11" s="11" t="s">
        <v>64</v>
      </c>
      <c r="C11" s="11" t="str">
        <f t="array" ref="C11">IFERROR(INDEX('1. Slug_Pagine statiche_ITA'!$H:$H,MATCH(A11,'1. Slug_Pagine statiche_ITA'!$A:$A,0)),"")</f>
        <v>/servizi/</v>
      </c>
      <c r="D11" s="12"/>
      <c r="E11" s="12" t="s">
        <v>178</v>
      </c>
      <c r="F11" s="11">
        <f t="shared" si="1"/>
        <v>58</v>
      </c>
      <c r="G11" s="12" t="s">
        <v>179</v>
      </c>
      <c r="H11" s="11">
        <f t="shared" si="2"/>
        <v>147</v>
      </c>
      <c r="I11" s="17" t="s">
        <v>84</v>
      </c>
      <c r="J11" s="18"/>
      <c r="K11" s="18"/>
    </row>
    <row r="12" ht="34.5" customHeight="1">
      <c r="A12" s="11" t="s">
        <v>68</v>
      </c>
      <c r="B12" s="11" t="s">
        <v>69</v>
      </c>
      <c r="C12" s="11" t="str">
        <f t="array" ref="C12">IFERROR(INDEX('1. Slug_Pagine statiche_ITA'!$H:$H,MATCH(A12,'1. Slug_Pagine statiche_ITA'!$A:$A,0)),"")</f>
        <v>/servizi/family-office/</v>
      </c>
      <c r="D12" s="12"/>
      <c r="E12" s="12" t="s">
        <v>180</v>
      </c>
      <c r="F12" s="11">
        <f t="shared" si="1"/>
        <v>45</v>
      </c>
      <c r="G12" s="12" t="s">
        <v>181</v>
      </c>
      <c r="H12" s="11">
        <f t="shared" si="2"/>
        <v>139</v>
      </c>
      <c r="I12" s="17" t="s">
        <v>84</v>
      </c>
      <c r="J12" s="18"/>
      <c r="K12" s="18"/>
    </row>
    <row r="13" ht="45.75" customHeight="1">
      <c r="A13" s="11" t="s">
        <v>73</v>
      </c>
      <c r="B13" s="11" t="s">
        <v>74</v>
      </c>
      <c r="C13" s="11" t="str">
        <f t="array" ref="C13">IFERROR(INDEX('1. Slug_Pagine statiche_ITA'!$H:$H,MATCH(A13,'1. Slug_Pagine statiche_ITA'!$A:$A,0)),"")</f>
        <v>/trust/</v>
      </c>
      <c r="D13" s="12"/>
      <c r="E13" s="12" t="s">
        <v>182</v>
      </c>
      <c r="F13" s="11">
        <f t="shared" si="1"/>
        <v>56</v>
      </c>
      <c r="G13" s="12" t="s">
        <v>183</v>
      </c>
      <c r="H13" s="11">
        <f t="shared" si="2"/>
        <v>133</v>
      </c>
      <c r="I13" s="17" t="s">
        <v>84</v>
      </c>
      <c r="J13" s="18"/>
      <c r="K13" s="18"/>
    </row>
    <row r="14" ht="23.25" customHeight="1">
      <c r="A14" s="11" t="s">
        <v>80</v>
      </c>
      <c r="B14" s="11" t="s">
        <v>81</v>
      </c>
      <c r="C14" s="11" t="str">
        <f t="array" ref="C14">IFERROR(INDEX('1. Slug_Pagine statiche_ITA'!$H:$H,MATCH(A14,'1. Slug_Pagine statiche_ITA'!$A:$A,0)),"")</f>
        <v>/patrimonio/</v>
      </c>
      <c r="D14" s="12"/>
      <c r="E14" s="12" t="s">
        <v>184</v>
      </c>
      <c r="F14" s="11">
        <f t="shared" si="1"/>
        <v>61</v>
      </c>
      <c r="G14" s="12" t="s">
        <v>185</v>
      </c>
      <c r="H14" s="11">
        <f t="shared" si="2"/>
        <v>139</v>
      </c>
      <c r="I14" s="17" t="s">
        <v>84</v>
      </c>
      <c r="J14" s="18"/>
      <c r="K14" s="18"/>
    </row>
    <row r="15" ht="23.25" customHeight="1">
      <c r="A15" s="11" t="s">
        <v>86</v>
      </c>
      <c r="B15" s="11" t="s">
        <v>87</v>
      </c>
      <c r="C15" s="11" t="str">
        <f t="array" ref="C15">IFERROR(INDEX('1. Slug_Pagine statiche_ITA'!$H:$H,MATCH(A15,'1. Slug_Pagine statiche_ITA'!$A:$A,0)),"")</f>
        <v>/ag-informa/</v>
      </c>
      <c r="D15" s="12"/>
      <c r="E15" s="12" t="s">
        <v>186</v>
      </c>
      <c r="F15" s="11">
        <f t="shared" si="1"/>
        <v>52</v>
      </c>
      <c r="G15" s="12" t="s">
        <v>187</v>
      </c>
      <c r="H15" s="11">
        <f t="shared" si="2"/>
        <v>128</v>
      </c>
      <c r="I15" s="17" t="s">
        <v>84</v>
      </c>
      <c r="J15" s="18"/>
      <c r="K15" s="18"/>
    </row>
    <row r="16" ht="45.75" customHeight="1">
      <c r="A16" s="11" t="s">
        <v>92</v>
      </c>
      <c r="B16" s="11" t="s">
        <v>188</v>
      </c>
      <c r="C16" s="11" t="str">
        <f t="array" ref="C16">IFERROR(INDEX('1. Slug_Pagine statiche_ITA'!$H:$H,MATCH(A16,'1. Slug_Pagine statiche_ITA'!$A:$A,0)),"")</f>
        <v>/ag-informa/[slug-articolo]/</v>
      </c>
      <c r="D16" s="12"/>
      <c r="E16" s="12" t="s">
        <v>189</v>
      </c>
      <c r="F16" s="11">
        <f t="shared" si="1"/>
        <v>31</v>
      </c>
      <c r="G16" s="12" t="s">
        <v>190</v>
      </c>
      <c r="H16" s="11">
        <f t="shared" si="2"/>
        <v>48</v>
      </c>
      <c r="I16" s="17" t="s">
        <v>84</v>
      </c>
      <c r="J16" s="18"/>
      <c r="K16" s="18"/>
    </row>
    <row r="17" ht="34.5" customHeight="1">
      <c r="A17" s="11" t="s">
        <v>97</v>
      </c>
      <c r="B17" s="11" t="s">
        <v>99</v>
      </c>
      <c r="C17" s="11" t="str">
        <f t="array" ref="C17">IFERROR(INDEX('1. Slug_Pagine statiche_ITA'!$H:$H,MATCH(A17,'1. Slug_Pagine statiche_ITA'!$A:$A,0)),"")</f>
        <v>/eventi-in-agenda/</v>
      </c>
      <c r="D17" s="12"/>
      <c r="E17" s="12" t="s">
        <v>191</v>
      </c>
      <c r="F17" s="11">
        <f t="shared" si="1"/>
        <v>52</v>
      </c>
      <c r="G17" s="12" t="s">
        <v>192</v>
      </c>
      <c r="H17" s="11">
        <f t="shared" si="2"/>
        <v>136</v>
      </c>
      <c r="I17" s="17" t="s">
        <v>84</v>
      </c>
      <c r="J17" s="18"/>
      <c r="K17" s="18"/>
    </row>
    <row r="18" ht="23.25" customHeight="1">
      <c r="A18" s="11" t="s">
        <v>104</v>
      </c>
      <c r="B18" s="11" t="s">
        <v>193</v>
      </c>
      <c r="C18" s="11" t="str">
        <f t="array" ref="C18">IFERROR(INDEX('1. Slug_Pagine statiche_ITA'!$H:$H,MATCH(A18,'1. Slug_Pagine statiche_ITA'!$A:$A,0)),"")</f>
        <v>/ag-informa/temi/[tema]/</v>
      </c>
      <c r="D18" s="12"/>
      <c r="E18" s="12" t="s">
        <v>194</v>
      </c>
      <c r="F18" s="11">
        <f t="shared" si="1"/>
        <v>48</v>
      </c>
      <c r="G18" s="12" t="s">
        <v>195</v>
      </c>
      <c r="H18" s="11">
        <f t="shared" si="2"/>
        <v>54</v>
      </c>
      <c r="I18" s="17" t="s">
        <v>43</v>
      </c>
      <c r="J18" s="18"/>
      <c r="K18" s="18"/>
    </row>
    <row r="19" ht="23.25" customHeight="1">
      <c r="A19" s="11" t="s">
        <v>111</v>
      </c>
      <c r="B19" s="11" t="s">
        <v>196</v>
      </c>
      <c r="C19" s="11" t="str">
        <f t="array" ref="C19">IFERROR(INDEX('1. Slug_Pagine statiche_ITA'!$H:$H,MATCH(A19,'1. Slug_Pagine statiche_ITA'!$A:$A,0)),"")</f>
        <v>/knowledge-library/</v>
      </c>
      <c r="D19" s="12"/>
      <c r="E19" s="12" t="s">
        <v>197</v>
      </c>
      <c r="F19" s="11">
        <f t="shared" si="1"/>
        <v>49</v>
      </c>
      <c r="G19" s="12" t="s">
        <v>198</v>
      </c>
      <c r="H19" s="11">
        <f t="shared" si="2"/>
        <v>127</v>
      </c>
      <c r="I19" s="17" t="s">
        <v>84</v>
      </c>
      <c r="J19" s="18"/>
      <c r="K19" s="18"/>
    </row>
    <row r="20" ht="15.0" customHeight="1">
      <c r="A20" s="11" t="s">
        <v>118</v>
      </c>
      <c r="B20" s="11" t="s">
        <v>199</v>
      </c>
      <c r="C20" s="11" t="str">
        <f t="array" ref="C20">IFERROR(INDEX('1. Slug_Pagine statiche_ITA'!$H:$H,MATCH(A20,'1. Slug_Pagine statiche_ITA'!$A:$A,0)),"")</f>
        <v>/knowledge-library/[tipologia]/</v>
      </c>
      <c r="D20" s="12"/>
      <c r="E20" s="12" t="s">
        <v>200</v>
      </c>
      <c r="F20" s="11">
        <f t="shared" si="1"/>
        <v>35</v>
      </c>
      <c r="G20" s="12" t="s">
        <v>201</v>
      </c>
      <c r="H20" s="11">
        <f t="shared" si="2"/>
        <v>61</v>
      </c>
      <c r="I20" s="17" t="s">
        <v>84</v>
      </c>
      <c r="J20" s="18"/>
      <c r="K20" s="18"/>
    </row>
    <row r="21" ht="34.5" customHeight="1">
      <c r="A21" s="11" t="s">
        <v>125</v>
      </c>
      <c r="B21" s="11" t="s">
        <v>202</v>
      </c>
      <c r="C21" s="11" t="str">
        <f t="array" ref="C21">IFERROR(INDEX('1. Slug_Pagine statiche_ITA'!$H:$H,MATCH(A21,'1. Slug_Pagine statiche_ITA'!$A:$A,0)),"")</f>
        <v>/knowledge-library/[tipologia]/[slug-risorsa]/</v>
      </c>
      <c r="D21" s="12"/>
      <c r="E21" s="12" t="s">
        <v>203</v>
      </c>
      <c r="F21" s="11">
        <f t="shared" si="1"/>
        <v>30</v>
      </c>
      <c r="G21" s="12" t="s">
        <v>204</v>
      </c>
      <c r="H21" s="11">
        <f t="shared" si="2"/>
        <v>58</v>
      </c>
      <c r="I21" s="17" t="s">
        <v>43</v>
      </c>
      <c r="J21" s="18"/>
      <c r="K21" s="18"/>
    </row>
    <row r="22" ht="34.5" customHeight="1">
      <c r="A22" s="11" t="s">
        <v>130</v>
      </c>
      <c r="B22" s="11" t="s">
        <v>131</v>
      </c>
      <c r="C22" s="11" t="str">
        <f t="array" ref="C22">IFERROR(INDEX('1. Slug_Pagine statiche_ITA'!$H:$H,MATCH(A22,'1. Slug_Pagine statiche_ITA'!$A:$A,0)),"")</f>
        <v>/contatti/</v>
      </c>
      <c r="D22" s="12"/>
      <c r="E22" s="12" t="s">
        <v>205</v>
      </c>
      <c r="F22" s="11">
        <f t="shared" si="1"/>
        <v>29</v>
      </c>
      <c r="G22" s="12" t="s">
        <v>206</v>
      </c>
      <c r="H22" s="11">
        <f t="shared" si="2"/>
        <v>118</v>
      </c>
      <c r="I22" s="17" t="s">
        <v>84</v>
      </c>
      <c r="J22" s="18"/>
      <c r="K22" s="18"/>
    </row>
    <row r="23" ht="15.0" customHeight="1">
      <c r="A23" s="11" t="s">
        <v>135</v>
      </c>
      <c r="B23" s="11" t="s">
        <v>207</v>
      </c>
      <c r="C23" s="11" t="str">
        <f t="array" ref="C23">IFERROR(INDEX('1. Slug_Pagine statiche_ITA'!$H:$H,MATCH(A23,'1. Slug_Pagine statiche_ITA'!$A:$A,0)),"")</f>
        <v>/cerca/</v>
      </c>
      <c r="D23" s="12"/>
      <c r="E23" s="12" t="s">
        <v>208</v>
      </c>
      <c r="F23" s="11">
        <f t="shared" si="1"/>
        <v>34</v>
      </c>
      <c r="G23" s="12" t="s">
        <v>29</v>
      </c>
      <c r="H23" s="11" t="str">
        <f t="shared" si="2"/>
        <v/>
      </c>
      <c r="I23" s="17" t="s">
        <v>209</v>
      </c>
      <c r="J23" s="18"/>
      <c r="K23" s="18"/>
    </row>
    <row r="24" ht="23.25" customHeight="1">
      <c r="A24" s="11" t="s">
        <v>142</v>
      </c>
      <c r="B24" s="11" t="s">
        <v>143</v>
      </c>
      <c r="C24" s="11" t="str">
        <f t="array" ref="C24">IFERROR(INDEX('1. Slug_Pagine statiche_ITA'!$H:$H,MATCH(A24,'1. Slug_Pagine statiche_ITA'!$A:$A,0)),"")</f>
        <v>/newsletter/</v>
      </c>
      <c r="D24" s="12"/>
      <c r="E24" s="12" t="s">
        <v>210</v>
      </c>
      <c r="F24" s="11">
        <f t="shared" si="1"/>
        <v>46</v>
      </c>
      <c r="G24" s="12" t="s">
        <v>211</v>
      </c>
      <c r="H24" s="11">
        <f t="shared" si="2"/>
        <v>127</v>
      </c>
      <c r="I24" s="17" t="s">
        <v>84</v>
      </c>
      <c r="J24" s="18"/>
      <c r="K24" s="18"/>
    </row>
    <row r="25" ht="15.0" customHeight="1">
      <c r="A25" s="11" t="s">
        <v>148</v>
      </c>
      <c r="B25" s="11" t="s">
        <v>150</v>
      </c>
      <c r="C25" s="11" t="str">
        <f t="array" ref="C25">IFERROR(INDEX('1. Slug_Pagine statiche_ITA'!$H:$H,MATCH(A25,'1. Slug_Pagine statiche_ITA'!$A:$A,0)),"")</f>
        <v>/privacy-policy/</v>
      </c>
      <c r="D25" s="12"/>
      <c r="E25" s="12" t="s">
        <v>212</v>
      </c>
      <c r="F25" s="11">
        <f t="shared" si="1"/>
        <v>28</v>
      </c>
      <c r="G25" s="12" t="s">
        <v>213</v>
      </c>
      <c r="H25" s="11">
        <f t="shared" si="2"/>
        <v>71</v>
      </c>
      <c r="I25" s="17" t="s">
        <v>209</v>
      </c>
      <c r="J25" s="18"/>
      <c r="K25" s="18"/>
    </row>
    <row r="26" ht="15.0" customHeight="1">
      <c r="A26" s="11" t="s">
        <v>154</v>
      </c>
      <c r="B26" s="11" t="s">
        <v>155</v>
      </c>
      <c r="C26" s="11" t="str">
        <f t="array" ref="C26">IFERROR(INDEX('1. Slug_Pagine statiche_ITA'!$H:$H,MATCH(A26,'1. Slug_Pagine statiche_ITA'!$A:$A,0)),"")</f>
        <v>/cookie-policy/</v>
      </c>
      <c r="D26" s="12"/>
      <c r="E26" s="12" t="s">
        <v>214</v>
      </c>
      <c r="F26" s="11">
        <f t="shared" si="1"/>
        <v>27</v>
      </c>
      <c r="G26" s="12" t="s">
        <v>215</v>
      </c>
      <c r="H26" s="11">
        <f t="shared" si="2"/>
        <v>56</v>
      </c>
      <c r="I26" s="17" t="s">
        <v>209</v>
      </c>
      <c r="J26" s="18"/>
      <c r="K26" s="18"/>
    </row>
    <row r="27" ht="15.0" customHeight="1">
      <c r="A27" s="11" t="s">
        <v>158</v>
      </c>
      <c r="B27" s="11" t="s">
        <v>159</v>
      </c>
      <c r="C27" s="11" t="str">
        <f t="array" ref="C27">IFERROR(INDEX('1. Slug_Pagine statiche_ITA'!$H:$H,MATCH(A27,'1. Slug_Pagine statiche_ITA'!$A:$A,0)),"")</f>
        <v>/credits/</v>
      </c>
      <c r="D27" s="12"/>
      <c r="E27" s="12" t="s">
        <v>216</v>
      </c>
      <c r="F27" s="11">
        <f t="shared" si="1"/>
        <v>21</v>
      </c>
      <c r="G27" s="12" t="s">
        <v>29</v>
      </c>
      <c r="H27" s="11" t="str">
        <f t="shared" si="2"/>
        <v/>
      </c>
      <c r="I27" s="17" t="s">
        <v>209</v>
      </c>
      <c r="J27" s="18"/>
      <c r="K27" s="18"/>
    </row>
    <row r="28" ht="15.0" customHeight="1">
      <c r="A28" s="11" t="s">
        <v>162</v>
      </c>
      <c r="B28" s="11" t="s">
        <v>217</v>
      </c>
      <c r="C28" s="11" t="str">
        <f t="array" ref="C28">IFERROR(INDEX('1. Slug_Pagine statiche_ITA'!$H:$H,MATCH(A28,'1. Slug_Pagine statiche_ITA'!$A:$A,0)),"")</f>
        <v>/richiesta-accesso-dati/</v>
      </c>
      <c r="D28" s="12"/>
      <c r="E28" s="12" t="s">
        <v>218</v>
      </c>
      <c r="F28" s="11">
        <f t="shared" si="1"/>
        <v>42</v>
      </c>
      <c r="G28" s="12" t="s">
        <v>29</v>
      </c>
      <c r="H28" s="11" t="str">
        <f t="shared" si="2"/>
        <v/>
      </c>
      <c r="I28" s="17" t="s">
        <v>209</v>
      </c>
      <c r="J28" s="18"/>
      <c r="K28" s="18"/>
    </row>
    <row r="29" ht="15.0" customHeight="1">
      <c r="A29" s="11" t="s">
        <v>168</v>
      </c>
      <c r="B29" s="11" t="s">
        <v>170</v>
      </c>
      <c r="C29" s="11" t="str">
        <f t="array" ref="C29">IFERROR(INDEX('1. Slug_Pagine statiche_ITA'!$H:$H,MATCH(A29,'1. Slug_Pagine statiche_ITA'!$A:$A,0)),"")</f>
        <v>–</v>
      </c>
      <c r="D29" s="12"/>
      <c r="E29" s="12" t="s">
        <v>219</v>
      </c>
      <c r="F29" s="11">
        <f t="shared" si="1"/>
        <v>32</v>
      </c>
      <c r="G29" s="12" t="s">
        <v>29</v>
      </c>
      <c r="H29" s="11" t="str">
        <f t="shared" si="2"/>
        <v/>
      </c>
      <c r="I29" s="17" t="s">
        <v>220</v>
      </c>
      <c r="J29" s="18"/>
      <c r="K29" s="18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1">
    <mergeCell ref="A2:J2"/>
  </mergeCells>
  <conditionalFormatting sqref="F5:F29">
    <cfRule type="expression" dxfId="2" priority="1">
      <formula>AND(ISNUMBER(F5),F5&gt;60)</formula>
    </cfRule>
  </conditionalFormatting>
  <conditionalFormatting sqref="H5:H29">
    <cfRule type="expression" dxfId="2" priority="2">
      <formula>AND(ISNUMBER(H5),OR(H5&gt;155,H5&lt;120))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2026-10-08T08:06:23Z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